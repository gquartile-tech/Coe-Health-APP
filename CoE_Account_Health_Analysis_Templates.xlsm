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HEALTH SCORE/"/>
    </mc:Choice>
  </mc:AlternateContent>
  <xr:revisionPtr revIDLastSave="219" documentId="8_{3E3918C5-82FD-409A-9152-AF36AD84C91A}" xr6:coauthVersionLast="47" xr6:coauthVersionMax="47" xr10:uidLastSave="{2294DDD3-7D4C-4DCD-952D-9CE9834348D1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" i="2"/>
  <c r="M8" i="2"/>
  <c r="E14" i="3" s="1"/>
  <c r="M9" i="2"/>
  <c r="E15" i="3" s="1"/>
  <c r="M10" i="2"/>
  <c r="E16" i="3" s="1"/>
  <c r="M11" i="2"/>
  <c r="E17" i="3" s="1"/>
  <c r="M12" i="2"/>
  <c r="E18" i="3" s="1"/>
  <c r="M13" i="2"/>
  <c r="E19" i="3" s="1"/>
  <c r="M14" i="2"/>
  <c r="E20" i="3" s="1"/>
  <c r="M15" i="2"/>
  <c r="E21" i="3" s="1"/>
  <c r="M16" i="2"/>
  <c r="E22" i="3" s="1"/>
  <c r="M17" i="2"/>
  <c r="E23" i="3" s="1"/>
  <c r="M18" i="2"/>
  <c r="E24" i="3" s="1"/>
  <c r="M19" i="2"/>
  <c r="E25" i="3" s="1"/>
  <c r="M20" i="2"/>
  <c r="E26" i="3" s="1"/>
  <c r="M21" i="2"/>
  <c r="E27" i="3" s="1"/>
  <c r="M22" i="2"/>
  <c r="E28" i="3" s="1"/>
  <c r="M23" i="2"/>
  <c r="E29" i="3" s="1"/>
  <c r="M24" i="2"/>
  <c r="E30" i="3" s="1"/>
  <c r="M25" i="2"/>
  <c r="E31" i="3" s="1"/>
  <c r="M26" i="2"/>
  <c r="E32" i="3" s="1"/>
  <c r="M27" i="2"/>
  <c r="E33" i="3" s="1"/>
  <c r="M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M6" i="2"/>
  <c r="E12" i="3" s="1"/>
  <c r="M5" i="2"/>
  <c r="E11" i="3" s="1"/>
  <c r="M4" i="2"/>
  <c r="E10" i="3" s="1"/>
  <c r="M3" i="2"/>
  <c r="E9" i="3" s="1"/>
  <c r="M2" i="2"/>
  <c r="E8" i="3" s="1"/>
  <c r="A15" i="1" l="1" a="1"/>
  <c r="A15" i="1" s="1"/>
  <c r="F26" i="3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<sst xmlns="http://schemas.openxmlformats.org/spreadsheetml/2006/main" count="323" uniqueCount="246">
  <si>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</si>
  <si>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</si>
  <si>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</si>
  <si>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</si>
  <si>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</si>
  <si>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</si>
  <si>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</si>
  <si>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</si>
  <si>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</si>
  <si>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</si>
  <si>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</si>
  <si>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</si>
  <si>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</si>
  <si>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</si>
  <si>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</si>
  <si>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</si>
  <si>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</si>
  <si>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</si>
  <si>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</si>
  <si>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</si>
  <si>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</si>
  <si>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</si>
  <si>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</si>
  <si>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</si>
  <si>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</si>
  <si>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</si>
  <si>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</si>
  <si>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</si>
  <si>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</si>
  <si>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</si>
  <si>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</si>
  <si>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</si>
  <si>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</si>
  <si>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</si>
  <si>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</si>
  <si>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</si>
  <si>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</si>
  <si>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</si>
  <si>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</si>
  <si>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</si>
  <si>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</si>
  <si>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</si>
  <si>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</si>
  <si>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</si>
  <si>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</si>
  <si>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</si>
  <si>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</si>
  <si>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</si>
  <si>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</si>
  <si>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</si>
  <si>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</si>
  <si>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</si>
  <si>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</si>
  <si>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</si>
  <si>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</si>
  <si>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</si>
  <si>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</si>
  <si>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</si>
  <si>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</si>
  <si>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</si>
  <si>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</si>
  <si>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</si>
  <si>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</si>
  <si>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</si>
  <si>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</si>
  <si>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</si>
  <si>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</si>
  <si>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</si>
  <si>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</si>
  <si>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</si>
  <si>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</si>
  <si>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</si>
  <si>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</si>
  <si>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</si>
  <si>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</si>
  <si>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</si>
  <si>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</si>
  <si>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</si>
  <si>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</si>
  <si>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</si>
  <si>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</si>
  <si>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</si>
  <si>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</si>
  <si>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</si>
  <si>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</si>
  <si>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</si>
  <si>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</si>
  <si>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</si>
  <si>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</si>
  <si>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</si>
  <si>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</si>
  <si>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</si>
  <si>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</si>
  <si>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</si>
  <si>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</si>
  <si>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</si>
  <si>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</si>
  <si>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</si>
  <si>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</si>
  <si>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</si>
  <si>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</si>
  <si>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</si>
  <si>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</si>
  <si>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</si>
  <si>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</si>
  <si>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</si>
  <si>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</si>
  <si>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</si>
  <si>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</si>
  <si>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</si>
  <si>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</si>
  <si>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</si>
  <si>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</si>
  <si>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</si>
  <si>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</si>
  <si>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</si>
  <si>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</si>
  <si>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</si>
  <si>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</si>
  <si>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</si>
  <si>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</si>
  <si>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</si>
  <si>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</si>
  <si>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</si>
  <si>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</si>
  <si>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</si>
  <si>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</si>
  <si>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</si>
  <si>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</si>
  <si>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</si>
  <si>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</si>
  <si>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</si>
  <si>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</si>
  <si>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</si>
  <si>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</si>
  <si>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</si>
  <si>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</si>
  <si>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</si>
  <si>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</si>
  <si>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</si>
  <si>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</si>
  <si>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</si>
  <si>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</si>
  <si>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</si>
  <si>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</si>
  <si>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</si>
  <si>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</si>
  <si>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</si>
  <si>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</si>
  <si>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</si>
  <si>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</si>
  <si>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</si>
  <si>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</si>
  <si>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</si>
  <si>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</si>
  <si>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</si>
  <si>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</si>
  <si>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</si>
  <si>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</si>
  <si>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</si>
  <si>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</si>
  <si>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</si>
  <si>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</si>
  <si>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</si>
  <si>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</si>
  <si>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</si>
  <si>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</si>
  <si>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</si>
  <si>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</si>
  <si>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</si>
  <si>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</si>
  <si>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</si>
  <si>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</si>
  <si>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</si>
  <si>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</si>
  <si>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</si>
  <si>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</si>
  <si>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</si>
  <si>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</si>
  <si>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</si>
  <si>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</si>
  <si>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</si>
  <si>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</si>
  <si>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</si>
  <si>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</si>
  <si>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</si>
  <si>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</si>
  <si>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</si>
  <si>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</si>
  <si>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</si>
  <si>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</si>
  <si>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</si>
  <si>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</si>
  <si>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</si>
  <si>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</si>
  <si>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</si>
  <si>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</si>
  <si>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</si>
  <si>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</si>
  <si>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</si>
  <si>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</si>
  <si>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</si>
  <si>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</si>
  <si>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</si>
  <si>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</si>
  <si>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</si>
  <si>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</si>
  <si>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</si>
  <si>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</si>
  <si>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</si>
  <si>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</si>
  <si>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</si>
  <si>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</si>
  <si>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</si>
  <si>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</si>
  <si>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</si>
  <si>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</si>
  <si>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</si>
  <si>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</si>
  <si>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</si>
  <si>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</si>
  <si>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</si>
  <si>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</si>
  <si>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</si>
  <si>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</si>
  <si>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</si>
  <si>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</si>
  <si>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</si>
  <si>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</si>
  <si>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</si>
  <si>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</si>
  <si>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</si>
  <si>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</si>
  <si>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</si>
  <si>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</si>
  <si>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</si>
  <si>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</si>
  <si>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</si>
  <si>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</si>
  <si>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</si>
  <si>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</si>
  <si>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</si>
  <si>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</si>
  <si>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</si>
  <si>
    <t>Account Health  Grade</t>
  </si>
  <si>
    <t>DAA Pacing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</si>
</sst>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26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27" totalsRowShown="0" headerRowDxfId="25" dataDxfId="24" tableBorderDxfId="23">
  <autoFilter ref="A1:N27" xr:uid="{00000000-0009-0000-0100-000001000000}"/>
  <tableColumns count="14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19"/>
    <tableColumn id="5" xr3:uid="{00000000-0010-0000-0000-000005000000}" name="What" dataDxfId="18"/>
    <tableColumn id="6" xr3:uid="{00000000-0010-0000-0000-000006000000}" name="Why" dataDxfId="17"/>
    <tableColumn id="7" xr3:uid="{00000000-0010-0000-0000-000007000000}" name="How" dataDxfId="16"/>
    <tableColumn id="14" xr3:uid="{00000000-0010-0000-0000-00000E000000}" name="What We Saw" dataDxfId="15"/>
    <tableColumn id="13" xr3:uid="{00000000-0010-0000-0000-00000D000000}" name="Why It Matters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8"/>
  <sheetViews>
    <sheetView zoomScale="70" zoomScaleNormal="70" workbookViewId="0">
      <pane ySplit="8" topLeftCell="A9" activePane="bottomLeft" state="frozen"/>
      <selection pane="bottomLeft" activeCell="D20" sqref="D20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5" width="50.21875" style="22" customWidth="1"/>
    <col min="6" max="6" width="34.44140625" customWidth="1"/>
    <col min="7" max="7" width="26.77734375" style="16" customWidth="1"/>
    <col min="8" max="8" width="21.5546875" style="16" bestFit="1" customWidth="1"/>
    <col min="9" max="9" width="26.21875" style="16" bestFit="1" customWidth="1"/>
    <col min="10" max="10" width="19.6640625" style="16" bestFit="1" customWidth="1"/>
    <col min="11" max="11" width="19.44140625" style="16" bestFit="1" customWidth="1"/>
    <col min="12" max="12" width="21.88671875" style="16" bestFit="1" customWidth="1"/>
    <col min="13" max="13" width="25" style="16" bestFit="1" customWidth="1"/>
    <col min="14" max="14" width="25.6640625" style="16" bestFit="1" customWidth="1"/>
    <col min="15" max="15" width="28.44140625" style="16" bestFit="1" customWidth="1"/>
    <col min="16" max="16" width="27.6640625" style="16" bestFit="1" customWidth="1"/>
    <col min="17" max="17" width="22.33203125" style="16" bestFit="1" customWidth="1"/>
    <col min="18" max="18" width="16.88671875" style="16" bestFit="1" customWidth="1"/>
    <col min="19" max="19" width="10.6640625" style="16" bestFit="1" customWidth="1"/>
    <col min="20" max="20" width="26.6640625" style="16" bestFit="1" customWidth="1"/>
    <col min="21" max="21" width="27.6640625" style="16" bestFit="1" customWidth="1"/>
    <col min="22" max="22" width="18.88671875" style="16" bestFit="1" customWidth="1"/>
    <col min="23" max="23" width="20" style="16" bestFit="1" customWidth="1"/>
    <col min="24" max="24" width="14.44140625" style="16" bestFit="1" customWidth="1"/>
    <col min="25" max="25" width="19.44140625" style="16" bestFit="1" customWidth="1"/>
    <col min="26" max="26" width="12.77734375" style="16" bestFit="1" customWidth="1"/>
    <col min="27" max="27" width="30.44140625" style="16" bestFit="1" customWidth="1"/>
    <col min="28" max="28" width="24.88671875" style="16" bestFit="1" customWidth="1"/>
    <col min="29" max="29" width="20.44140625" style="16" bestFit="1" customWidth="1"/>
    <col min="30" max="30" width="16.109375" style="16" bestFit="1" customWidth="1"/>
    <col min="31" max="31" width="21.5546875" style="16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7" ht="28.05" customHeight="1" thickBot="1" x14ac:dyDescent="0.35">
      <c r="A1" s="42" t="s">
        <v>66</v>
      </c>
      <c r="B1" s="43"/>
      <c r="C1" s="44"/>
      <c r="D1" s="44"/>
      <c r="E1" s="44"/>
      <c r="F1" s="44"/>
    </row>
    <row r="2" spans="1:7" ht="15" thickBot="1" x14ac:dyDescent="0.35">
      <c r="A2" s="25" t="s">
        <v>65</v>
      </c>
      <c r="B2" s="35" t="s">
        <v>64</v>
      </c>
      <c r="C2" s="16"/>
      <c r="D2" s="45"/>
      <c r="E2" s="46"/>
      <c r="F2" s="46"/>
    </row>
    <row r="3" spans="1:7" ht="15" thickBot="1" x14ac:dyDescent="0.35">
      <c r="A3" s="24" t="s">
        <v>60</v>
      </c>
      <c r="B3" s="34" t="s">
        <v>61</v>
      </c>
      <c r="D3" s="23"/>
      <c r="E3"/>
    </row>
    <row r="4" spans="1:7" ht="14.4" customHeight="1" thickBot="1" x14ac:dyDescent="0.35">
      <c r="A4" s="25" t="s">
        <v>59</v>
      </c>
      <c r="B4" s="37" t="s">
        <v>62</v>
      </c>
      <c r="C4" s="16"/>
      <c r="D4" s="45"/>
      <c r="E4" s="46"/>
      <c r="F4" s="46"/>
    </row>
    <row r="5" spans="1:7" ht="14.4" customHeight="1" thickBot="1" x14ac:dyDescent="0.35">
      <c r="A5" s="25" t="s">
        <v>63</v>
      </c>
      <c r="B5" s="36">
        <v>46083.684884259259</v>
      </c>
      <c r="C5" s="16"/>
      <c r="D5" s="23"/>
      <c r="E5"/>
    </row>
    <row r="6" spans="1:7" ht="15" thickBot="1" x14ac:dyDescent="0.35">
      <c r="A6" s="16"/>
      <c r="B6" s="16"/>
      <c r="C6" s="16"/>
      <c r="D6" s="21"/>
      <c r="E6" s="21"/>
      <c r="F6" s="16"/>
    </row>
    <row r="7" spans="1:7" ht="21" customHeight="1" thickBot="1" x14ac:dyDescent="0.35">
      <c r="A7" s="47" t="s">
        <v>180</v>
      </c>
      <c r="B7" s="46"/>
      <c r="C7" s="46"/>
      <c r="D7" s="51" t="str">
        <f>'Logic and Calculation'!B5</f>
        <v>Healthy</v>
      </c>
      <c r="E7" s="52"/>
      <c r="F7" s="52"/>
    </row>
    <row r="8" spans="1:7" ht="18" customHeight="1" thickBot="1" x14ac:dyDescent="0.35">
      <c r="A8" s="47" t="s">
        <v>0</v>
      </c>
      <c r="B8" s="46"/>
      <c r="C8" s="46"/>
      <c r="D8" s="49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0"/>
      <c r="F8" s="50"/>
    </row>
    <row r="9" spans="1:7" ht="18" customHeight="1" thickBot="1" x14ac:dyDescent="0.35">
      <c r="A9" s="24" t="s">
        <v>181</v>
      </c>
      <c r="B9" s="34"/>
      <c r="C9" s="16"/>
      <c r="D9" s="53"/>
      <c r="E9" s="53"/>
      <c r="F9" s="53"/>
    </row>
    <row r="10" spans="1:7" ht="18" customHeight="1" thickBot="1" x14ac:dyDescent="0.35">
      <c r="A10" s="24" t="s">
        <v>182</v>
      </c>
      <c r="B10" s="35"/>
      <c r="C10" s="16"/>
      <c r="D10" s="39" t="s">
        <v>184</v>
      </c>
      <c r="E10" s="38"/>
      <c r="F10" s="16"/>
    </row>
    <row r="11" spans="1:7" ht="18" customHeight="1" thickBot="1" x14ac:dyDescent="0.35">
      <c r="A11" s="24" t="s">
        <v>183</v>
      </c>
      <c r="B11" s="36"/>
      <c r="C11" s="16"/>
      <c r="D11" s="21"/>
      <c r="E11" s="21"/>
      <c r="F11" s="16"/>
    </row>
    <row r="12" spans="1:7" ht="18" customHeight="1" x14ac:dyDescent="0.3">
      <c r="A12" s="16"/>
      <c r="B12" s="16"/>
      <c r="C12" s="16"/>
      <c r="D12" s="21"/>
      <c r="E12" s="21"/>
      <c r="F12" s="16"/>
    </row>
    <row r="13" spans="1:7" x14ac:dyDescent="0.3">
      <c r="A13" s="48" t="s">
        <v>1</v>
      </c>
      <c r="B13" s="46"/>
      <c r="C13" s="46"/>
      <c r="D13" s="46"/>
      <c r="E13" s="46"/>
      <c r="F13" s="46"/>
    </row>
    <row r="14" spans="1:7" ht="19.95" customHeight="1" x14ac:dyDescent="0.3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7</v>
      </c>
      <c r="G14" s="14"/>
    </row>
    <row r="15" spans="1:7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_xlpm.impact, 'Account Health_Reference'!K2:K27,
  _xlpm.data, _xlfn.HSTACK(_xlpm.id, _xlpm.name, _xlpm.st, _xlpm.saw, _xlpm.matter,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7"/>
    </row>
    <row r="16" spans="1:7" ht="44.4" customHeight="1" x14ac:dyDescent="0.3">
      <c r="A16" s="17"/>
      <c r="B16" s="17"/>
      <c r="C16" s="15"/>
      <c r="D16" s="19"/>
      <c r="E16" s="19"/>
      <c r="F16" s="17"/>
    </row>
    <row r="17" spans="1:6" ht="44.4" customHeight="1" x14ac:dyDescent="0.3">
      <c r="A17" s="17"/>
      <c r="B17" s="17"/>
      <c r="C17" s="15"/>
      <c r="D17" s="19"/>
      <c r="E17" s="19"/>
      <c r="F17" s="17"/>
    </row>
    <row r="18" spans="1:6" ht="44.4" customHeight="1" x14ac:dyDescent="0.3">
      <c r="A18" s="17"/>
      <c r="B18" s="17"/>
      <c r="C18" s="15"/>
      <c r="D18" s="19"/>
      <c r="E18" s="19"/>
      <c r="F18" s="17"/>
    </row>
    <row r="19" spans="1:6" ht="44.4" customHeight="1" x14ac:dyDescent="0.3">
      <c r="A19" s="17"/>
      <c r="B19" s="17"/>
      <c r="C19" s="15"/>
      <c r="D19" s="19"/>
      <c r="E19" s="19"/>
      <c r="F19" s="17"/>
    </row>
    <row r="20" spans="1:6" ht="44.4" customHeight="1" x14ac:dyDescent="0.3">
      <c r="A20" s="17"/>
      <c r="B20" s="17"/>
      <c r="C20" s="15"/>
      <c r="D20" s="19"/>
      <c r="E20" s="19"/>
      <c r="F20" s="17"/>
    </row>
    <row r="21" spans="1:6" ht="44.4" customHeight="1" x14ac:dyDescent="0.3">
      <c r="A21" s="17"/>
      <c r="B21" s="17"/>
      <c r="C21" s="15"/>
      <c r="D21" s="19"/>
      <c r="E21" s="19"/>
      <c r="F21" s="17"/>
    </row>
    <row r="22" spans="1:6" ht="44.4" customHeight="1" x14ac:dyDescent="0.3">
      <c r="A22" s="17"/>
      <c r="B22" s="17"/>
      <c r="C22" s="15"/>
      <c r="D22" s="19"/>
      <c r="E22" s="19"/>
      <c r="F22" s="17"/>
    </row>
    <row r="23" spans="1:6" ht="44.4" customHeight="1" x14ac:dyDescent="0.3">
      <c r="A23" s="17"/>
      <c r="B23" s="17"/>
      <c r="C23" s="15"/>
      <c r="D23" s="19"/>
      <c r="E23" s="19"/>
      <c r="F23" s="17"/>
    </row>
    <row r="24" spans="1:6" ht="44.4" customHeight="1" x14ac:dyDescent="0.3">
      <c r="A24" s="17"/>
      <c r="B24" s="17"/>
      <c r="C24" s="15"/>
      <c r="D24" s="19"/>
      <c r="E24" s="19"/>
      <c r="F24" s="17"/>
    </row>
    <row r="25" spans="1:6" ht="44.4" customHeight="1" x14ac:dyDescent="0.3">
      <c r="A25" s="17"/>
      <c r="B25" s="17"/>
      <c r="C25" s="15"/>
      <c r="D25" s="19"/>
      <c r="E25" s="19"/>
      <c r="F25" s="17"/>
    </row>
    <row r="26" spans="1:6" ht="44.4" customHeight="1" x14ac:dyDescent="0.3">
      <c r="A26" s="17"/>
      <c r="B26" s="17"/>
      <c r="C26" s="15"/>
      <c r="D26" s="19"/>
      <c r="E26" s="19"/>
      <c r="F26" s="17"/>
    </row>
    <row r="27" spans="1:6" ht="44.4" customHeight="1" x14ac:dyDescent="0.3">
      <c r="A27" s="17"/>
      <c r="B27" s="17"/>
      <c r="C27" s="15"/>
      <c r="D27" s="19"/>
      <c r="E27" s="19"/>
      <c r="F27" s="17"/>
    </row>
    <row r="28" spans="1:6" ht="44.4" customHeight="1" x14ac:dyDescent="0.3">
      <c r="A28" s="17"/>
      <c r="B28" s="17"/>
      <c r="C28" s="15"/>
      <c r="D28" s="19"/>
      <c r="E28" s="19"/>
      <c r="F28" s="17"/>
    </row>
    <row r="29" spans="1:6" ht="44.4" customHeight="1" x14ac:dyDescent="0.3">
      <c r="A29" s="16"/>
      <c r="B29" s="16"/>
      <c r="C29" s="15"/>
      <c r="D29" s="21"/>
      <c r="E29" s="21"/>
      <c r="F29" s="16"/>
    </row>
    <row r="30" spans="1:6" ht="44.4" customHeight="1" x14ac:dyDescent="0.3">
      <c r="A30" s="16"/>
      <c r="B30" s="16"/>
      <c r="C30" s="15"/>
      <c r="D30" s="21"/>
      <c r="E30" s="21"/>
      <c r="F30" s="16"/>
    </row>
    <row r="31" spans="1:6" ht="44.4" customHeight="1" x14ac:dyDescent="0.3">
      <c r="A31" s="16"/>
      <c r="B31" s="16"/>
      <c r="C31" s="15"/>
      <c r="D31" s="21"/>
      <c r="E31" s="21"/>
      <c r="F31" s="16"/>
    </row>
    <row r="32" spans="1:6" ht="44.4" customHeight="1" x14ac:dyDescent="0.3">
      <c r="A32" s="16"/>
      <c r="B32" s="16"/>
      <c r="C32" s="15"/>
      <c r="D32" s="21"/>
      <c r="E32" s="21"/>
      <c r="F32" s="16"/>
    </row>
    <row r="33" spans="1:6" ht="44.4" customHeight="1" x14ac:dyDescent="0.3">
      <c r="A33" s="16"/>
      <c r="B33" s="16"/>
      <c r="C33" s="15"/>
      <c r="D33" s="21"/>
      <c r="E33" s="21"/>
      <c r="F33" s="16"/>
    </row>
    <row r="34" spans="1:6" ht="44.4" customHeight="1" x14ac:dyDescent="0.3">
      <c r="C34" s="15"/>
    </row>
    <row r="35" spans="1:6" ht="44.4" customHeight="1" x14ac:dyDescent="0.3">
      <c r="C35" s="15"/>
    </row>
    <row r="36" spans="1:6" ht="44.4" customHeight="1" x14ac:dyDescent="0.3">
      <c r="C36" s="15"/>
    </row>
    <row r="37" spans="1:6" ht="44.4" customHeight="1" x14ac:dyDescent="0.3">
      <c r="C37" s="15"/>
    </row>
    <row r="38" spans="1:6" ht="44.4" customHeight="1" x14ac:dyDescent="0.3">
      <c r="C38" s="15"/>
    </row>
  </sheetData>
  <mergeCells count="9">
    <mergeCell ref="A1:F1"/>
    <mergeCell ref="D4:F4"/>
    <mergeCell ref="A7:C7"/>
    <mergeCell ref="A13:F13"/>
    <mergeCell ref="D8:F8"/>
    <mergeCell ref="A8:C8"/>
    <mergeCell ref="D2:F2"/>
    <mergeCell ref="D7:F7"/>
    <mergeCell ref="D9:F9"/>
  </mergeCells>
  <conditionalFormatting sqref="C15:C38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F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27"/>
  <sheetViews>
    <sheetView tabSelected="1" topLeftCell="E1" workbookViewId="0">
      <pane ySplit="1" topLeftCell="A15" activePane="bottomLeft" state="frozen"/>
      <selection pane="bottomLeft" activeCell="N20" sqref="N20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7" width="42" style="22" customWidth="1"/>
    <col min="8" max="9" width="47.88671875" style="22" customWidth="1"/>
    <col min="10" max="10" width="13.5546875" customWidth="1"/>
    <col min="11" max="11" width="10" customWidth="1"/>
    <col min="12" max="12" width="11.6640625" customWidth="1"/>
    <col min="13" max="13" width="22" customWidth="1"/>
    <col min="14" max="14" width="39.44140625" customWidth="1"/>
  </cols>
  <sheetData>
    <row r="1" spans="1:14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8" t="s">
        <v>13</v>
      </c>
      <c r="K1" s="8" t="s">
        <v>7</v>
      </c>
      <c r="L1" s="8" t="s">
        <v>14</v>
      </c>
      <c r="M1" s="8" t="s">
        <v>15</v>
      </c>
      <c r="N1" s="10" t="s">
        <v>16</v>
      </c>
    </row>
    <row r="2" spans="1:14" ht="36" customHeight="1" x14ac:dyDescent="0.3">
      <c r="A2" s="4" t="s">
        <v>67</v>
      </c>
      <c r="B2" s="4" t="s">
        <v>17</v>
      </c>
      <c r="C2" s="4" t="s">
        <v>68</v>
      </c>
      <c r="D2" s="4" t="s">
        <v>18</v>
      </c>
      <c r="E2" s="27" t="s">
        <v>108</v>
      </c>
      <c r="F2" s="3" t="s">
        <v>109</v>
      </c>
      <c r="G2" s="3" t="s">
        <v>185</v>
      </c>
      <c r="H2" s="3" t="s">
        <v>140</v>
      </c>
      <c r="I2" s="3" t="s">
        <v>218</v>
      </c>
      <c r="J2" s="7" t="s">
        <v>211</v>
      </c>
      <c r="K2" s="6" t="str">
        <f>VLOOKUP(Table1[[#This Row],[Importance]],'Logic and Calculation'!$H$3:$J$12,3,FALSE)</f>
        <v>Medium</v>
      </c>
      <c r="L2" s="6">
        <v>5</v>
      </c>
      <c r="M2" s="4">
        <f>VLOOKUP(Table1[[#This Row],[Importance]],'Logic and Calculation'!$H$3:$J$12,2,FALSE)</f>
        <v>-15</v>
      </c>
      <c r="N2" s="11"/>
    </row>
    <row r="3" spans="1:14" ht="36" customHeight="1" x14ac:dyDescent="0.3">
      <c r="A3" s="4" t="s">
        <v>67</v>
      </c>
      <c r="B3" s="4" t="s">
        <v>20</v>
      </c>
      <c r="C3" s="4" t="s">
        <v>69</v>
      </c>
      <c r="D3" s="4" t="s">
        <v>18</v>
      </c>
      <c r="E3" s="32" t="s">
        <v>110</v>
      </c>
      <c r="F3" s="3" t="s">
        <v>111</v>
      </c>
      <c r="G3" s="3" t="s">
        <v>186</v>
      </c>
      <c r="H3" s="3" t="s">
        <v>141</v>
      </c>
      <c r="I3" s="3" t="s">
        <v>219</v>
      </c>
      <c r="J3" s="3" t="s">
        <v>211</v>
      </c>
      <c r="K3" s="6" t="str">
        <f>VLOOKUP(Table1[[#This Row],[Importance]],'Logic and Calculation'!$H$3:$J$12,3,FALSE)</f>
        <v>High</v>
      </c>
      <c r="L3" s="4">
        <v>8</v>
      </c>
      <c r="M3" s="4">
        <f>VLOOKUP(Table1[[#This Row],[Importance]],'Logic and Calculation'!$H$3:$J$12,2,FALSE)</f>
        <v>-24</v>
      </c>
      <c r="N3" s="12"/>
    </row>
    <row r="4" spans="1:14" ht="36" customHeight="1" x14ac:dyDescent="0.3">
      <c r="A4" s="4" t="s">
        <v>67</v>
      </c>
      <c r="B4" s="4" t="s">
        <v>21</v>
      </c>
      <c r="C4" s="4" t="s">
        <v>70</v>
      </c>
      <c r="D4" s="4" t="s">
        <v>18</v>
      </c>
      <c r="E4" s="32" t="s">
        <v>112</v>
      </c>
      <c r="F4" s="3" t="s">
        <v>113</v>
      </c>
      <c r="G4" s="3" t="s">
        <v>187</v>
      </c>
      <c r="H4" s="3" t="s">
        <v>142</v>
      </c>
      <c r="I4" s="3" t="s">
        <v>220</v>
      </c>
      <c r="J4" s="3" t="s">
        <v>212</v>
      </c>
      <c r="K4" s="6" t="str">
        <f>VLOOKUP(Table1[[#This Row],[Importance]],'Logic and Calculation'!$H$3:$J$12,3,FALSE)</f>
        <v>Critical</v>
      </c>
      <c r="L4" s="4">
        <v>10</v>
      </c>
      <c r="M4" s="4">
        <f>VLOOKUP(Table1[[#This Row],[Importance]],'Logic and Calculation'!$H$3:$J$12,2,FALSE)</f>
        <v>-30</v>
      </c>
      <c r="N4" s="12"/>
    </row>
    <row r="5" spans="1:14" ht="48" customHeight="1" x14ac:dyDescent="0.3">
      <c r="A5" s="4" t="s">
        <v>71</v>
      </c>
      <c r="B5" s="4" t="s">
        <v>22</v>
      </c>
      <c r="C5" s="4" t="s">
        <v>72</v>
      </c>
      <c r="D5" s="4" t="s">
        <v>18</v>
      </c>
      <c r="E5" s="32" t="s">
        <v>114</v>
      </c>
      <c r="F5" s="3" t="s">
        <v>115</v>
      </c>
      <c r="G5" s="3" t="s">
        <v>188</v>
      </c>
      <c r="H5" s="3" t="s">
        <v>143</v>
      </c>
      <c r="I5" s="3" t="s">
        <v>221</v>
      </c>
      <c r="J5" s="3" t="s">
        <v>213</v>
      </c>
      <c r="K5" s="6" t="str">
        <f>VLOOKUP(Table1[[#This Row],[Importance]],'Logic and Calculation'!$H$3:$J$12,3,FALSE)</f>
        <v>Critical</v>
      </c>
      <c r="L5" s="4">
        <v>10</v>
      </c>
      <c r="M5" s="4">
        <f>VLOOKUP(Table1[[#This Row],[Importance]],'Logic and Calculation'!$H$3:$J$12,2,FALSE)</f>
        <v>-30</v>
      </c>
      <c r="N5" s="12"/>
    </row>
    <row r="6" spans="1:14" ht="36" customHeight="1" x14ac:dyDescent="0.3">
      <c r="A6" s="4" t="s">
        <v>71</v>
      </c>
      <c r="B6" s="4" t="s">
        <v>23</v>
      </c>
      <c r="C6" s="4" t="s">
        <v>73</v>
      </c>
      <c r="D6" s="4" t="s">
        <v>18</v>
      </c>
      <c r="E6" s="32" t="s">
        <v>116</v>
      </c>
      <c r="F6" s="3" t="s">
        <v>117</v>
      </c>
      <c r="G6" s="3" t="s">
        <v>189</v>
      </c>
      <c r="H6" s="3" t="s">
        <v>144</v>
      </c>
      <c r="I6" s="3" t="s">
        <v>222</v>
      </c>
      <c r="J6" s="3" t="s">
        <v>213</v>
      </c>
      <c r="K6" s="6" t="str">
        <f>VLOOKUP(Table1[[#This Row],[Importance]],'Logic and Calculation'!$H$3:$J$12,3,FALSE)</f>
        <v>Critical</v>
      </c>
      <c r="L6" s="4">
        <v>10</v>
      </c>
      <c r="M6" s="4">
        <f>VLOOKUP(Table1[[#This Row],[Importance]],'Logic and Calculation'!$H$3:$J$12,2,FALSE)</f>
        <v>-30</v>
      </c>
      <c r="N6" s="12"/>
    </row>
    <row r="7" spans="1:14" ht="48" customHeight="1" x14ac:dyDescent="0.3">
      <c r="A7" s="4" t="s">
        <v>71</v>
      </c>
      <c r="B7" s="4" t="s">
        <v>24</v>
      </c>
      <c r="C7" s="4" t="s">
        <v>74</v>
      </c>
      <c r="D7" s="4" t="s">
        <v>18</v>
      </c>
      <c r="E7" s="32" t="s">
        <v>118</v>
      </c>
      <c r="F7" s="3" t="s">
        <v>119</v>
      </c>
      <c r="G7" s="3" t="s">
        <v>190</v>
      </c>
      <c r="H7" s="3" t="s">
        <v>145</v>
      </c>
      <c r="I7" s="3" t="s">
        <v>223</v>
      </c>
      <c r="J7" s="3" t="s">
        <v>214</v>
      </c>
      <c r="K7" s="6" t="str">
        <f>VLOOKUP(Table1[[#This Row],[Importance]],'Logic and Calculation'!$H$3:$J$12,3,FALSE)</f>
        <v>Critical</v>
      </c>
      <c r="L7" s="4">
        <v>10</v>
      </c>
      <c r="M7" s="4">
        <f>VLOOKUP(Table1[[#This Row],[Importance]],'Logic and Calculation'!$H$3:$J$12,2,FALSE)</f>
        <v>-30</v>
      </c>
      <c r="N7" s="12"/>
    </row>
    <row r="8" spans="1:14" ht="36" customHeight="1" x14ac:dyDescent="0.3">
      <c r="A8" s="4" t="s">
        <v>75</v>
      </c>
      <c r="B8" s="4" t="s">
        <v>25</v>
      </c>
      <c r="C8" s="4" t="s">
        <v>76</v>
      </c>
      <c r="D8" s="4" t="s">
        <v>18</v>
      </c>
      <c r="E8" s="32" t="s">
        <v>120</v>
      </c>
      <c r="F8" s="3" t="s">
        <v>121</v>
      </c>
      <c r="G8" s="3" t="s">
        <v>191</v>
      </c>
      <c r="H8" s="3" t="s">
        <v>146</v>
      </c>
      <c r="I8" s="3" t="s">
        <v>224</v>
      </c>
      <c r="J8" s="3" t="s">
        <v>212</v>
      </c>
      <c r="K8" s="6" t="str">
        <f>VLOOKUP(Table1[[#This Row],[Importance]],'Logic and Calculation'!$H$3:$J$12,3,FALSE)</f>
        <v>Medium</v>
      </c>
      <c r="L8" s="4">
        <v>7</v>
      </c>
      <c r="M8" s="4">
        <f>VLOOKUP(Table1[[#This Row],[Importance]],'Logic and Calculation'!$H$3:$J$12,2,FALSE)</f>
        <v>-21</v>
      </c>
      <c r="N8" s="12"/>
    </row>
    <row r="9" spans="1:14" ht="24" customHeight="1" x14ac:dyDescent="0.3">
      <c r="A9" s="4" t="s">
        <v>75</v>
      </c>
      <c r="B9" s="4" t="s">
        <v>26</v>
      </c>
      <c r="C9" s="4" t="s">
        <v>77</v>
      </c>
      <c r="D9" s="4" t="s">
        <v>18</v>
      </c>
      <c r="E9" s="32" t="s">
        <v>122</v>
      </c>
      <c r="F9" s="3" t="s">
        <v>123</v>
      </c>
      <c r="G9" s="3" t="s">
        <v>192</v>
      </c>
      <c r="H9" s="3" t="s">
        <v>147</v>
      </c>
      <c r="I9" s="3" t="s">
        <v>225</v>
      </c>
      <c r="J9" s="3" t="s">
        <v>212</v>
      </c>
      <c r="K9" s="6" t="str">
        <f>VLOOKUP(Table1[[#This Row],[Importance]],'Logic and Calculation'!$H$3:$J$12,3,FALSE)</f>
        <v>Visibility</v>
      </c>
      <c r="L9" s="4">
        <v>1</v>
      </c>
      <c r="M9" s="4">
        <f>VLOOKUP(Table1[[#This Row],[Importance]],'Logic and Calculation'!$H$3:$J$12,2,FALSE)</f>
        <v>0</v>
      </c>
      <c r="N9" s="12"/>
    </row>
    <row r="10" spans="1:14" ht="48" customHeight="1" x14ac:dyDescent="0.3">
      <c r="A10" s="4" t="s">
        <v>75</v>
      </c>
      <c r="B10" s="4" t="s">
        <v>27</v>
      </c>
      <c r="C10" s="4" t="s">
        <v>78</v>
      </c>
      <c r="D10" s="4" t="s">
        <v>18</v>
      </c>
      <c r="E10" s="32" t="s">
        <v>124</v>
      </c>
      <c r="F10" s="3" t="s">
        <v>125</v>
      </c>
      <c r="G10" s="3" t="s">
        <v>193</v>
      </c>
      <c r="H10" s="3" t="s">
        <v>148</v>
      </c>
      <c r="I10" s="3" t="s">
        <v>226</v>
      </c>
      <c r="J10" s="3" t="s">
        <v>212</v>
      </c>
      <c r="K10" s="6" t="str">
        <f>VLOOKUP(Table1[[#This Row],[Importance]],'Logic and Calculation'!$H$3:$J$12,3,FALSE)</f>
        <v>Visibility</v>
      </c>
      <c r="L10" s="4">
        <v>1</v>
      </c>
      <c r="M10" s="4">
        <f>VLOOKUP(Table1[[#This Row],[Importance]],'Logic and Calculation'!$H$3:$J$12,2,FALSE)</f>
        <v>0</v>
      </c>
      <c r="N10" s="12"/>
    </row>
    <row r="11" spans="1:14" ht="36" customHeight="1" x14ac:dyDescent="0.3">
      <c r="A11" s="4" t="s">
        <v>75</v>
      </c>
      <c r="B11" s="4" t="s">
        <v>28</v>
      </c>
      <c r="C11" s="4" t="s">
        <v>79</v>
      </c>
      <c r="D11" s="4" t="s">
        <v>18</v>
      </c>
      <c r="E11" s="32" t="s">
        <v>126</v>
      </c>
      <c r="F11" s="3" t="s">
        <v>127</v>
      </c>
      <c r="G11" s="3" t="s">
        <v>194</v>
      </c>
      <c r="H11" s="3" t="s">
        <v>149</v>
      </c>
      <c r="I11" s="3" t="s">
        <v>227</v>
      </c>
      <c r="J11" s="3" t="s">
        <v>212</v>
      </c>
      <c r="K11" s="6" t="str">
        <f>VLOOKUP(Table1[[#This Row],[Importance]],'Logic and Calculation'!$H$3:$J$12,3,FALSE)</f>
        <v>Visibility</v>
      </c>
      <c r="L11" s="4">
        <v>1</v>
      </c>
      <c r="M11" s="4">
        <f>VLOOKUP(Table1[[#This Row],[Importance]],'Logic and Calculation'!$H$3:$J$12,2,FALSE)</f>
        <v>0</v>
      </c>
      <c r="N11" s="12"/>
    </row>
    <row r="12" spans="1:14" ht="60" customHeight="1" x14ac:dyDescent="0.3">
      <c r="A12" s="4" t="s">
        <v>75</v>
      </c>
      <c r="B12" s="4" t="s">
        <v>29</v>
      </c>
      <c r="C12" s="4" t="s">
        <v>80</v>
      </c>
      <c r="D12" s="4" t="s">
        <v>18</v>
      </c>
      <c r="E12" s="32" t="s">
        <v>128</v>
      </c>
      <c r="F12" s="3" t="s">
        <v>129</v>
      </c>
      <c r="G12" s="3" t="s">
        <v>195</v>
      </c>
      <c r="H12" s="3" t="s">
        <v>150</v>
      </c>
      <c r="I12" s="3" t="s">
        <v>228</v>
      </c>
      <c r="J12" s="3" t="s">
        <v>212</v>
      </c>
      <c r="K12" s="6" t="str">
        <f>VLOOKUP(Table1[[#This Row],[Importance]],'Logic and Calculation'!$H$3:$J$12,3,FALSE)</f>
        <v>Visibility</v>
      </c>
      <c r="L12" s="4">
        <v>1</v>
      </c>
      <c r="M12" s="4">
        <f>VLOOKUP(Table1[[#This Row],[Importance]],'Logic and Calculation'!$H$3:$J$12,2,FALSE)</f>
        <v>0</v>
      </c>
      <c r="N12" s="12"/>
    </row>
    <row r="13" spans="1:14" ht="60" customHeight="1" x14ac:dyDescent="0.3">
      <c r="A13" s="4" t="s">
        <v>75</v>
      </c>
      <c r="B13" s="4" t="s">
        <v>30</v>
      </c>
      <c r="C13" s="4" t="s">
        <v>81</v>
      </c>
      <c r="D13" s="4" t="s">
        <v>18</v>
      </c>
      <c r="E13" s="32" t="s">
        <v>130</v>
      </c>
      <c r="F13" s="3" t="s">
        <v>131</v>
      </c>
      <c r="G13" s="3" t="s">
        <v>196</v>
      </c>
      <c r="H13" s="3" t="s">
        <v>151</v>
      </c>
      <c r="I13" s="3" t="s">
        <v>229</v>
      </c>
      <c r="J13" s="3" t="s">
        <v>212</v>
      </c>
      <c r="K13" s="6" t="str">
        <f>VLOOKUP(Table1[[#This Row],[Importance]],'Logic and Calculation'!$H$3:$J$12,3,FALSE)</f>
        <v>Visibility</v>
      </c>
      <c r="L13" s="4">
        <v>1</v>
      </c>
      <c r="M13" s="4">
        <f>VLOOKUP(Table1[[#This Row],[Importance]],'Logic and Calculation'!$H$3:$J$12,2,FALSE)</f>
        <v>0</v>
      </c>
      <c r="N13" s="12"/>
    </row>
    <row r="14" spans="1:14" ht="48" customHeight="1" x14ac:dyDescent="0.3">
      <c r="A14" s="4" t="s">
        <v>82</v>
      </c>
      <c r="B14" s="4" t="s">
        <v>31</v>
      </c>
      <c r="C14" s="4" t="s">
        <v>83</v>
      </c>
      <c r="D14" s="4" t="s">
        <v>18</v>
      </c>
      <c r="E14" s="32" t="s">
        <v>132</v>
      </c>
      <c r="F14" s="3" t="s">
        <v>133</v>
      </c>
      <c r="G14" s="3" t="s">
        <v>197</v>
      </c>
      <c r="H14" s="3" t="s">
        <v>152</v>
      </c>
      <c r="I14" s="3" t="s">
        <v>230</v>
      </c>
      <c r="J14" s="3" t="s">
        <v>213</v>
      </c>
      <c r="K14" s="6" t="str">
        <f>VLOOKUP(Table1[[#This Row],[Importance]],'Logic and Calculation'!$H$3:$J$12,3,FALSE)</f>
        <v>High</v>
      </c>
      <c r="L14" s="4">
        <v>8</v>
      </c>
      <c r="M14" s="4">
        <f>VLOOKUP(Table1[[#This Row],[Importance]],'Logic and Calculation'!$H$3:$J$12,2,FALSE)</f>
        <v>-24</v>
      </c>
      <c r="N14" s="12"/>
    </row>
    <row r="15" spans="1:14" ht="24" customHeight="1" x14ac:dyDescent="0.3">
      <c r="A15" s="4" t="s">
        <v>82</v>
      </c>
      <c r="B15" s="4" t="s">
        <v>32</v>
      </c>
      <c r="C15" s="4" t="s">
        <v>84</v>
      </c>
      <c r="D15" s="4" t="s">
        <v>18</v>
      </c>
      <c r="E15" s="32" t="s">
        <v>134</v>
      </c>
      <c r="F15" s="3" t="s">
        <v>135</v>
      </c>
      <c r="G15" s="3" t="s">
        <v>198</v>
      </c>
      <c r="H15" s="3" t="s">
        <v>153</v>
      </c>
      <c r="I15" s="3" t="s">
        <v>231</v>
      </c>
      <c r="J15" s="3"/>
      <c r="K15" s="6" t="str">
        <f>VLOOKUP(Table1[[#This Row],[Importance]],'Logic and Calculation'!$H$3:$J$12,3,FALSE)</f>
        <v>Visibility</v>
      </c>
      <c r="L15" s="4">
        <v>1</v>
      </c>
      <c r="M15" s="4">
        <f>VLOOKUP(Table1[[#This Row],[Importance]],'Logic and Calculation'!$H$3:$J$12,2,FALSE)</f>
        <v>0</v>
      </c>
      <c r="N15" s="12"/>
    </row>
    <row r="16" spans="1:14" ht="24" customHeight="1" x14ac:dyDescent="0.3">
      <c r="A16" s="4" t="s">
        <v>82</v>
      </c>
      <c r="B16" s="4" t="s">
        <v>33</v>
      </c>
      <c r="C16" s="4" t="s">
        <v>85</v>
      </c>
      <c r="D16" s="4" t="s">
        <v>18</v>
      </c>
      <c r="E16" s="32" t="s">
        <v>136</v>
      </c>
      <c r="F16" s="3" t="s">
        <v>137</v>
      </c>
      <c r="G16" s="3" t="s">
        <v>199</v>
      </c>
      <c r="H16" s="3" t="s">
        <v>154</v>
      </c>
      <c r="I16" s="3" t="s">
        <v>232</v>
      </c>
      <c r="J16" s="3"/>
      <c r="K16" s="6" t="str">
        <f>VLOOKUP(Table1[[#This Row],[Importance]],'Logic and Calculation'!$H$3:$J$12,3,FALSE)</f>
        <v>Visibility</v>
      </c>
      <c r="L16" s="4">
        <v>1</v>
      </c>
      <c r="M16" s="4">
        <f>VLOOKUP(Table1[[#This Row],[Importance]],'Logic and Calculation'!$H$3:$J$12,2,FALSE)</f>
        <v>0</v>
      </c>
      <c r="N16" s="12"/>
    </row>
    <row r="17" spans="1:14" ht="24" customHeight="1" x14ac:dyDescent="0.3">
      <c r="A17" s="4" t="s">
        <v>86</v>
      </c>
      <c r="B17" s="4" t="s">
        <v>34</v>
      </c>
      <c r="C17" s="4" t="s">
        <v>87</v>
      </c>
      <c r="D17" s="4" t="s">
        <v>18</v>
      </c>
      <c r="E17" s="32" t="s">
        <v>138</v>
      </c>
      <c r="F17" s="3" t="s">
        <v>139</v>
      </c>
      <c r="G17" s="3" t="s">
        <v>200</v>
      </c>
      <c r="H17" s="3" t="s">
        <v>155</v>
      </c>
      <c r="I17" s="3" t="s">
        <v>233</v>
      </c>
      <c r="J17" s="3" t="s">
        <v>215</v>
      </c>
      <c r="K17" s="6" t="str">
        <f>VLOOKUP(Table1[[#This Row],[Importance]],'Logic and Calculation'!$H$3:$J$12,3,FALSE)</f>
        <v>Medium</v>
      </c>
      <c r="L17" s="4">
        <v>6</v>
      </c>
      <c r="M17" s="4">
        <f>VLOOKUP(Table1[[#This Row],[Importance]],'Logic and Calculation'!$H$3:$J$12,2,FALSE)</f>
        <v>-18</v>
      </c>
      <c r="N17" s="12"/>
    </row>
    <row r="18" spans="1:14" ht="24" customHeight="1" x14ac:dyDescent="0.3">
      <c r="A18" s="4" t="s">
        <v>86</v>
      </c>
      <c r="B18" s="4" t="s">
        <v>35</v>
      </c>
      <c r="C18" s="4" t="s">
        <v>245</v>
      </c>
      <c r="D18" s="4" t="s">
        <v>18</v>
      </c>
      <c r="E18" s="32"/>
      <c r="F18" s="3"/>
      <c r="G18" s="3" t="s">
        <v>201</v>
      </c>
      <c r="H18" s="3"/>
      <c r="I18" s="3" t="s">
        <v>234</v>
      </c>
      <c r="J18" s="3" t="s">
        <v>215</v>
      </c>
      <c r="K18" s="6" t="str">
        <f>VLOOKUP(Table1[[#This Row],[Importance]],'Logic and Calculation'!$H$3:$J$12,3,FALSE)</f>
        <v>Visibility</v>
      </c>
      <c r="L18" s="4">
        <v>1</v>
      </c>
      <c r="M18" s="4">
        <f>VLOOKUP(Table1[[#This Row],[Importance]],'Logic and Calculation'!$H$3:$J$12,2,FALSE)</f>
        <v>0</v>
      </c>
      <c r="N18" s="12"/>
    </row>
    <row r="19" spans="1:14" ht="36" customHeight="1" x14ac:dyDescent="0.3">
      <c r="A19" s="4" t="s">
        <v>86</v>
      </c>
      <c r="B19" s="4" t="s">
        <v>36</v>
      </c>
      <c r="C19" s="4" t="s">
        <v>88</v>
      </c>
      <c r="D19" s="4" t="s">
        <v>18</v>
      </c>
      <c r="E19" s="27"/>
      <c r="F19" s="3"/>
      <c r="G19" s="3" t="s">
        <v>202</v>
      </c>
      <c r="H19" s="3"/>
      <c r="I19" s="3" t="s">
        <v>235</v>
      </c>
      <c r="J19" s="3" t="s">
        <v>215</v>
      </c>
      <c r="K19" s="6" t="str">
        <f>VLOOKUP(Table1[[#This Row],[Importance]],'Logic and Calculation'!$H$3:$J$12,3,FALSE)</f>
        <v>Visibility</v>
      </c>
      <c r="L19" s="4">
        <v>1</v>
      </c>
      <c r="M19" s="4">
        <f>VLOOKUP(Table1[[#This Row],[Importance]],'Logic and Calculation'!$H$3:$J$12,2,FALSE)</f>
        <v>0</v>
      </c>
      <c r="N19" s="12"/>
    </row>
    <row r="20" spans="1:14" ht="36" customHeight="1" x14ac:dyDescent="0.3">
      <c r="A20" s="4" t="s">
        <v>89</v>
      </c>
      <c r="B20" s="4" t="s">
        <v>37</v>
      </c>
      <c r="C20" s="4" t="s">
        <v>98</v>
      </c>
      <c r="D20" s="4" t="s">
        <v>18</v>
      </c>
      <c r="E20" s="32" t="s">
        <v>156</v>
      </c>
      <c r="F20" s="3" t="s">
        <v>157</v>
      </c>
      <c r="G20" s="3" t="s">
        <v>203</v>
      </c>
      <c r="H20" s="3" t="s">
        <v>168</v>
      </c>
      <c r="I20" s="3" t="s">
        <v>236</v>
      </c>
      <c r="J20" s="3" t="s">
        <v>216</v>
      </c>
      <c r="K20" s="6" t="str">
        <f>VLOOKUP(Table1[[#This Row],[Importance]],'Logic and Calculation'!$H$3:$J$12,3,FALSE)</f>
        <v>Medium</v>
      </c>
      <c r="L20" s="4">
        <v>7</v>
      </c>
      <c r="M20" s="4">
        <f>VLOOKUP(Table1[[#This Row],[Importance]],'Logic and Calculation'!$H$3:$J$12,2,FALSE)</f>
        <v>-21</v>
      </c>
      <c r="N20" s="12"/>
    </row>
    <row r="21" spans="1:14" ht="36" customHeight="1" x14ac:dyDescent="0.3">
      <c r="A21" s="4" t="s">
        <v>89</v>
      </c>
      <c r="B21" s="4" t="s">
        <v>38</v>
      </c>
      <c r="C21" s="4" t="s">
        <v>90</v>
      </c>
      <c r="D21" s="4" t="s">
        <v>18</v>
      </c>
      <c r="E21" s="27" t="s">
        <v>158</v>
      </c>
      <c r="F21" s="3" t="s">
        <v>159</v>
      </c>
      <c r="G21" s="3" t="s">
        <v>204</v>
      </c>
      <c r="H21" s="3" t="s">
        <v>169</v>
      </c>
      <c r="I21" s="3" t="s">
        <v>237</v>
      </c>
      <c r="J21" s="3"/>
      <c r="K21" s="6" t="str">
        <f>VLOOKUP(Table1[[#This Row],[Importance]],'Logic and Calculation'!$H$3:$J$12,3,FALSE)</f>
        <v>Medium</v>
      </c>
      <c r="L21" s="4">
        <v>7</v>
      </c>
      <c r="M21" s="4">
        <f>VLOOKUP(Table1[[#This Row],[Importance]],'Logic and Calculation'!$H$3:$J$12,2,FALSE)</f>
        <v>-21</v>
      </c>
      <c r="N21" s="12"/>
    </row>
    <row r="22" spans="1:14" ht="36" customHeight="1" x14ac:dyDescent="0.3">
      <c r="A22" s="4" t="s">
        <v>91</v>
      </c>
      <c r="B22" s="4" t="s">
        <v>39</v>
      </c>
      <c r="C22" s="4" t="s">
        <v>92</v>
      </c>
      <c r="D22" s="4" t="s">
        <v>18</v>
      </c>
      <c r="E22" s="33" t="s">
        <v>160</v>
      </c>
      <c r="F22" s="33" t="s">
        <v>161</v>
      </c>
      <c r="G22" s="33" t="s">
        <v>205</v>
      </c>
      <c r="H22" s="33" t="s">
        <v>103</v>
      </c>
      <c r="I22" s="33" t="s">
        <v>238</v>
      </c>
      <c r="J22" s="7" t="s">
        <v>217</v>
      </c>
      <c r="K22" s="6" t="str">
        <f>VLOOKUP(Table1[[#This Row],[Importance]],'Logic and Calculation'!$H$3:$J$12,3,FALSE)</f>
        <v>Visibility</v>
      </c>
      <c r="L22" s="6">
        <v>1</v>
      </c>
      <c r="M22" s="6">
        <f>VLOOKUP(Table1[[#This Row],[Importance]],'Logic and Calculation'!$H$3:$J$12,2,FALSE)</f>
        <v>0</v>
      </c>
      <c r="N22" s="26"/>
    </row>
    <row r="23" spans="1:14" ht="36" customHeight="1" x14ac:dyDescent="0.3">
      <c r="A23" s="4" t="s">
        <v>91</v>
      </c>
      <c r="B23" s="4" t="s">
        <v>40</v>
      </c>
      <c r="C23" s="4" t="s">
        <v>93</v>
      </c>
      <c r="D23" s="4" t="s">
        <v>18</v>
      </c>
      <c r="E23" s="33" t="s">
        <v>162</v>
      </c>
      <c r="F23" s="33" t="s">
        <v>163</v>
      </c>
      <c r="G23" s="33" t="s">
        <v>206</v>
      </c>
      <c r="H23" s="33" t="s">
        <v>104</v>
      </c>
      <c r="I23" s="33" t="s">
        <v>239</v>
      </c>
      <c r="J23" s="3" t="s">
        <v>217</v>
      </c>
      <c r="K23" s="6" t="str">
        <f>VLOOKUP(Table1[[#This Row],[Importance]],'Logic and Calculation'!$H$3:$J$12,3,FALSE)</f>
        <v>Visibility</v>
      </c>
      <c r="L23" s="4">
        <v>1</v>
      </c>
      <c r="M23" s="4">
        <f>VLOOKUP(Table1[[#This Row],[Importance]],'Logic and Calculation'!$H$3:$J$12,2,FALSE)</f>
        <v>0</v>
      </c>
      <c r="N23" s="12"/>
    </row>
    <row r="24" spans="1:14" ht="36" customHeight="1" x14ac:dyDescent="0.3">
      <c r="A24" s="4" t="s">
        <v>91</v>
      </c>
      <c r="B24" s="4" t="s">
        <v>41</v>
      </c>
      <c r="C24" s="4" t="s">
        <v>94</v>
      </c>
      <c r="D24" s="4" t="s">
        <v>18</v>
      </c>
      <c r="E24" s="33" t="s">
        <v>99</v>
      </c>
      <c r="F24" s="33" t="s">
        <v>164</v>
      </c>
      <c r="G24" s="33" t="s">
        <v>207</v>
      </c>
      <c r="H24" s="33" t="s">
        <v>105</v>
      </c>
      <c r="I24" s="33" t="s">
        <v>240</v>
      </c>
      <c r="J24" s="3" t="s">
        <v>217</v>
      </c>
      <c r="K24" s="6" t="str">
        <f>VLOOKUP(Table1[[#This Row],[Importance]],'Logic and Calculation'!$H$3:$J$12,3,FALSE)</f>
        <v>Visibility</v>
      </c>
      <c r="L24" s="4">
        <v>1</v>
      </c>
      <c r="M24" s="4">
        <f>VLOOKUP(Table1[[#This Row],[Importance]],'Logic and Calculation'!$H$3:$J$12,2,FALSE)</f>
        <v>0</v>
      </c>
      <c r="N24" s="12"/>
    </row>
    <row r="25" spans="1:14" ht="36" customHeight="1" x14ac:dyDescent="0.3">
      <c r="A25" s="4" t="s">
        <v>91</v>
      </c>
      <c r="B25" s="4" t="s">
        <v>42</v>
      </c>
      <c r="C25" s="4" t="s">
        <v>95</v>
      </c>
      <c r="D25" s="4" t="s">
        <v>18</v>
      </c>
      <c r="E25" s="33" t="s">
        <v>100</v>
      </c>
      <c r="F25" s="33" t="s">
        <v>165</v>
      </c>
      <c r="G25" s="33" t="s">
        <v>208</v>
      </c>
      <c r="H25" s="33" t="s">
        <v>106</v>
      </c>
      <c r="I25" s="33" t="s">
        <v>241</v>
      </c>
      <c r="J25" s="3" t="s">
        <v>217</v>
      </c>
      <c r="K25" s="6" t="str">
        <f>VLOOKUP(Table1[[#This Row],[Importance]],'Logic and Calculation'!$H$3:$J$12,3,FALSE)</f>
        <v>Visibility</v>
      </c>
      <c r="L25" s="4">
        <v>1</v>
      </c>
      <c r="M25" s="4">
        <f>VLOOKUP(Table1[[#This Row],[Importance]],'Logic and Calculation'!$H$3:$J$12,2,FALSE)</f>
        <v>0</v>
      </c>
      <c r="N25" s="12"/>
    </row>
    <row r="26" spans="1:14" ht="36" customHeight="1" x14ac:dyDescent="0.3">
      <c r="A26" s="4" t="s">
        <v>91</v>
      </c>
      <c r="B26" s="4" t="s">
        <v>43</v>
      </c>
      <c r="C26" s="4" t="s">
        <v>96</v>
      </c>
      <c r="D26" s="4" t="s">
        <v>18</v>
      </c>
      <c r="E26" s="33" t="s">
        <v>101</v>
      </c>
      <c r="F26" s="33" t="s">
        <v>166</v>
      </c>
      <c r="G26" s="33" t="s">
        <v>209</v>
      </c>
      <c r="H26" s="33" t="s">
        <v>170</v>
      </c>
      <c r="I26" s="33" t="s">
        <v>242</v>
      </c>
      <c r="J26" s="3" t="s">
        <v>217</v>
      </c>
      <c r="K26" s="6" t="str">
        <f>VLOOKUP(Table1[[#This Row],[Importance]],'Logic and Calculation'!$H$3:$J$12,3,FALSE)</f>
        <v>Visibility</v>
      </c>
      <c r="L26" s="4">
        <v>1</v>
      </c>
      <c r="M26" s="4">
        <f>VLOOKUP(Table1[[#This Row],[Importance]],'Logic and Calculation'!$H$3:$J$12,2,FALSE)</f>
        <v>0</v>
      </c>
      <c r="N26" s="12"/>
    </row>
    <row r="27" spans="1:14" ht="60" customHeight="1" x14ac:dyDescent="0.3">
      <c r="A27" s="4" t="s">
        <v>91</v>
      </c>
      <c r="B27" s="4" t="s">
        <v>44</v>
      </c>
      <c r="C27" s="4" t="s">
        <v>97</v>
      </c>
      <c r="D27" s="4" t="s">
        <v>18</v>
      </c>
      <c r="E27" s="33" t="s">
        <v>102</v>
      </c>
      <c r="F27" s="33" t="s">
        <v>167</v>
      </c>
      <c r="G27" s="33" t="s">
        <v>210</v>
      </c>
      <c r="H27" s="33" t="s">
        <v>107</v>
      </c>
      <c r="I27" s="33" t="s">
        <v>243</v>
      </c>
      <c r="J27" s="3" t="s">
        <v>217</v>
      </c>
      <c r="K27" s="6" t="str">
        <f>VLOOKUP(Table1[[#This Row],[Importance]],'Logic and Calculation'!$H$3:$J$12,3,FALSE)</f>
        <v>Low</v>
      </c>
      <c r="L27" s="4">
        <v>3</v>
      </c>
      <c r="M27" s="4">
        <f>VLOOKUP(Table1[[#This Row],[Importance]],'Logic and Calculation'!$H$3:$J$12,2,FALSE)</f>
        <v>-9</v>
      </c>
      <c r="N27" s="12"/>
    </row>
  </sheetData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J21" sqref="J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45</v>
      </c>
    </row>
    <row r="2" spans="1:13" x14ac:dyDescent="0.3">
      <c r="A2" t="s">
        <v>46</v>
      </c>
      <c r="B2">
        <v>100</v>
      </c>
      <c r="D2" t="s">
        <v>47</v>
      </c>
      <c r="H2" s="9" t="s">
        <v>14</v>
      </c>
      <c r="I2" s="9" t="s">
        <v>48</v>
      </c>
      <c r="J2" s="9" t="s">
        <v>49</v>
      </c>
      <c r="L2" s="20" t="s">
        <v>180</v>
      </c>
      <c r="M2" s="20" t="s">
        <v>50</v>
      </c>
    </row>
    <row r="3" spans="1:13" x14ac:dyDescent="0.3">
      <c r="A3" t="s">
        <v>51</v>
      </c>
      <c r="B3">
        <f>SUM(F8:F970)</f>
        <v>0</v>
      </c>
      <c r="D3" t="s">
        <v>177</v>
      </c>
      <c r="H3">
        <v>10</v>
      </c>
      <c r="I3" s="41">
        <v>-30</v>
      </c>
      <c r="J3" t="s">
        <v>52</v>
      </c>
      <c r="L3" t="s">
        <v>176</v>
      </c>
      <c r="M3" t="s">
        <v>171</v>
      </c>
    </row>
    <row r="4" spans="1:13" x14ac:dyDescent="0.3">
      <c r="A4" t="s">
        <v>53</v>
      </c>
      <c r="B4">
        <f>B2+B3</f>
        <v>100</v>
      </c>
      <c r="D4" t="s">
        <v>178</v>
      </c>
      <c r="H4">
        <v>9</v>
      </c>
      <c r="I4" s="41">
        <v>-27</v>
      </c>
      <c r="J4" t="s">
        <v>54</v>
      </c>
      <c r="L4" t="s">
        <v>175</v>
      </c>
      <c r="M4" t="s">
        <v>172</v>
      </c>
    </row>
    <row r="5" spans="1:13" x14ac:dyDescent="0.3">
      <c r="A5" t="s">
        <v>244</v>
      </c>
      <c r="B5" t="str">
        <f>IF(B4&gt;=75,"Healthy",IF(AND(B4&lt;=74,B4&gt;=40),"Needs Attention","At Risk"))</f>
        <v>Healthy</v>
      </c>
      <c r="D5" t="s">
        <v>179</v>
      </c>
      <c r="H5">
        <v>8</v>
      </c>
      <c r="I5" s="41">
        <v>-24</v>
      </c>
      <c r="J5" t="s">
        <v>54</v>
      </c>
      <c r="L5" t="s">
        <v>174</v>
      </c>
      <c r="M5" t="s">
        <v>173</v>
      </c>
    </row>
    <row r="6" spans="1:13" x14ac:dyDescent="0.3">
      <c r="A6" t="s">
        <v>55</v>
      </c>
      <c r="B6" t="s">
        <v>56</v>
      </c>
      <c r="H6">
        <v>7</v>
      </c>
      <c r="I6" s="41">
        <v>-21</v>
      </c>
      <c r="J6" t="s">
        <v>19</v>
      </c>
    </row>
    <row r="7" spans="1:13" x14ac:dyDescent="0.3">
      <c r="H7">
        <v>6</v>
      </c>
      <c r="I7" s="41">
        <v>-18</v>
      </c>
      <c r="J7" t="s">
        <v>19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Health_Reference'!M2</f>
        <v>-15</v>
      </c>
      <c r="F8">
        <f t="shared" ref="F8:F33" si="0">IF(D8="FLAG",E8,IF(D8="PARTIAL",E8*0.5,0))</f>
        <v>0</v>
      </c>
      <c r="H8">
        <v>5</v>
      </c>
      <c r="I8" s="41">
        <v>-15</v>
      </c>
      <c r="J8" t="s">
        <v>19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Health_Reference'!M3</f>
        <v>-24</v>
      </c>
      <c r="F9">
        <f t="shared" si="0"/>
        <v>0</v>
      </c>
      <c r="H9">
        <v>4</v>
      </c>
      <c r="I9" s="41">
        <v>-12</v>
      </c>
      <c r="J9" t="s">
        <v>57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Health_Reference'!M4</f>
        <v>-30</v>
      </c>
      <c r="F10">
        <f t="shared" si="0"/>
        <v>0</v>
      </c>
      <c r="H10">
        <v>3</v>
      </c>
      <c r="I10" s="41">
        <v>-9</v>
      </c>
      <c r="J10" t="s">
        <v>57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Health_Reference'!M5</f>
        <v>-30</v>
      </c>
      <c r="F11">
        <f t="shared" si="0"/>
        <v>0</v>
      </c>
      <c r="H11">
        <v>2</v>
      </c>
      <c r="I11" s="41">
        <v>-6</v>
      </c>
      <c r="J11" t="s">
        <v>58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Health_Reference'!M6</f>
        <v>-30</v>
      </c>
      <c r="F12">
        <f t="shared" si="0"/>
        <v>0</v>
      </c>
      <c r="H12">
        <v>1</v>
      </c>
      <c r="I12" s="41">
        <v>0</v>
      </c>
      <c r="J12" t="s">
        <v>58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Health_Reference'!M7</f>
        <v>-30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Health_Reference'!M8</f>
        <v>-21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Health_Reference'!M9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Health_Reference'!M10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Health_Reference'!M11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Health_Reference'!M12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Health_Reference'!M13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Health_Reference'!M14</f>
        <v>-24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Health_Reference'!M15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Health_Reference'!M16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Health_Reference'!M17</f>
        <v>-18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DAA Pacing</v>
      </c>
      <c r="D24" t="str">
        <f>'Account Health_Reference'!D18</f>
        <v>OK</v>
      </c>
      <c r="E24">
        <f>'Account Health_Reference'!M18</f>
        <v>0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Health_Reference'!M19</f>
        <v>0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Health_Reference'!M20</f>
        <v>-21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Health_Reference'!M21</f>
        <v>-21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Health_Reference'!M22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Health_Reference'!M23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Health_Reference'!M24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Health_Reference'!M25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Health_Reference'!M26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Health_Reference'!M27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2026-04-13T20:20:39Z</dcterms:modified>
</cp:coreProperties>
</file>