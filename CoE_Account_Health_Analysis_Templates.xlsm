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HEALTH SCORE/"/>
    </mc:Choice>
  </mc:AlternateContent>
  <xr:revisionPtr revIDLastSave="242" documentId="8_{3E3918C5-82FD-409A-9152-AF36AD84C91A}" xr6:coauthVersionLast="47" xr6:coauthVersionMax="47" xr10:uidLastSave="{98882DCF-39B5-471D-B0F0-9DC4ADC63EF3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<sst xmlns="http://schemas.openxmlformats.org/spreadsheetml/2006/main" count="351" uniqueCount="253">
  <si>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</si>
  <si>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</si>
  <si>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</si>
  <si>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</si>
  <si>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</si>
  <si>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</si>
  <si>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</si>
  <si>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</si>
  <si>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</si>
  <si>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</si>
  <si>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</si>
  <si>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</si>
  <si>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</si>
  <si>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</si>
  <si>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</si>
  <si>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</si>
  <si>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</si>
  <si>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</si>
  <si>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</si>
  <si>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</si>
  <si>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</si>
  <si>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</si>
  <si>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</si>
  <si>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</si>
  <si>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</si>
  <si>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</si>
  <si>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</si>
  <si>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</si>
  <si>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</si>
  <si>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</si>
  <si>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</si>
  <si>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</si>
  <si>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</si>
  <si>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</si>
  <si>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</si>
  <si>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</si>
  <si>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</si>
  <si>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</si>
  <si>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</si>
  <si>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</si>
  <si>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</si>
  <si>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</si>
  <si>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</si>
  <si>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</si>
  <si>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</si>
  <si>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</si>
  <si>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</si>
  <si>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</si>
  <si>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</si>
  <si>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</si>
  <si>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</si>
  <si>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</si>
  <si>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</si>
  <si>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</si>
  <si>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</si>
  <si>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</si>
  <si>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</si>
  <si>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</si>
  <si>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</si>
  <si>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</si>
  <si>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</si>
  <si>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</si>
  <si>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</si>
  <si>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</si>
  <si>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</si>
  <si>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</si>
  <si>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</si>
  <si>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</si>
  <si>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</si>
  <si>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</si>
  <si>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</si>
  <si>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</si>
  <si>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</si>
  <si>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</si>
  <si>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</si>
  <si>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</si>
  <si>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</si>
  <si>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</si>
  <si>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</si>
  <si>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</si>
  <si>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</si>
  <si>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</si>
  <si>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</si>
  <si>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</si>
  <si>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</si>
  <si>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</si>
  <si>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</si>
  <si>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</si>
  <si>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</si>
  <si>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</si>
  <si>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</si>
  <si>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</si>
  <si>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</si>
  <si>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</si>
  <si>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</si>
  <si>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</si>
  <si>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</si>
  <si>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</si>
  <si>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</si>
  <si>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</si>
  <si>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</si>
  <si>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</si>
  <si>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</si>
  <si>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</si>
  <si>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</si>
  <si>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</si>
  <si>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</si>
  <si>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</si>
  <si>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</si>
  <si>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</si>
  <si>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</si>
  <si>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</si>
  <si>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</si>
  <si>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</si>
  <si>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</si>
  <si>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</si>
  <si>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</si>
  <si>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</si>
  <si>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</si>
  <si>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</si>
  <si>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</si>
  <si>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</si>
  <si>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</si>
  <si>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</si>
  <si>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</si>
  <si>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</si>
  <si>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</si>
  <si>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</si>
  <si>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</si>
  <si>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</si>
  <si>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</si>
  <si>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</si>
  <si>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</si>
  <si>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</si>
  <si>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</si>
  <si>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</si>
  <si>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</si>
  <si>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</si>
  <si>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</si>
  <si>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</si>
  <si>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</si>
  <si>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</si>
  <si>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</si>
  <si>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</si>
  <si>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</si>
  <si>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</si>
  <si>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</si>
  <si>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</si>
  <si>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</si>
  <si>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</si>
  <si>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</si>
  <si>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</si>
  <si>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</si>
  <si>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</si>
  <si>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</si>
  <si>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</si>
  <si>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</si>
  <si>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</si>
  <si>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</si>
  <si>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</si>
  <si>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</si>
  <si>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</si>
  <si>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</si>
  <si>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</si>
  <si>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</si>
  <si>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</si>
  <si>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</si>
  <si>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</si>
  <si>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</si>
  <si>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</si>
  <si>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</si>
  <si>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</si>
  <si>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</si>
  <si>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</si>
  <si>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</si>
  <si>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</si>
  <si>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</si>
  <si>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</si>
  <si>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</si>
  <si>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</si>
  <si>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</si>
  <si>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</si>
  <si>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</si>
  <si>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</si>
  <si>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</si>
  <si>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</si>
  <si>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</si>
  <si>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</si>
  <si>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</si>
  <si>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</si>
  <si>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</si>
  <si>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</si>
  <si>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</si>
  <si>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</si>
  <si>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</si>
  <si>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</si>
  <si>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</si>
  <si>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</si>
  <si>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</si>
  <si>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</si>
  <si>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</si>
  <si>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</si>
  <si>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</si>
  <si>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</si>
  <si>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</si>
  <si>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</si>
  <si>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</si>
  <si>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</si>
  <si>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</si>
  <si>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</si>
  <si>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</si>
  <si>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</si>
  <si>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</si>
  <si>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</si>
  <si>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</si>
  <si>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</si>
  <si>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</si>
  <si>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</si>
  <si>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</si>
  <si>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</si>
  <si>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</si>
  <si>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</si>
  <si>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</si>
  <si>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</si>
  <si>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</si>
  <si>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</si>
  <si>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</si>
  <si>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</si>
  <si>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</si>
  <si>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</si>
  <si>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</si>
  <si>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</si>
  <si>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</si>
  <si>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</si>
  <si>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</si>
  <si>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</si>
  <si>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</si>
  <si>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</si>
  <si>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</si>
  <si>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</si>
  <si>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</si>
  <si>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</si>
  <si>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</si>
  <si>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</si>
  <si>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</si>
  <si>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</si>
  <si>
    <t>What You Should Do</t>
  </si>
  <si>
    <t>No Actions Required, visibility only</t>
  </si>
  <si>
    <t>Revisit the Current Strategy in Place</t>
  </si>
  <si>
    <t>Revisit the current Strategy in Place</t>
  </si>
  <si>
    <t xml:space="preserve">Revisit the actual constrains and, if we are reaching it, we should definitely do something </t>
  </si>
  <si>
    <t xml:space="preserve">Revisit this with your director/Manager </t>
  </si>
  <si>
    <t xml:space="preserve">Revisit this with your Client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</si>
</sst>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5" fillId="2" borderId="2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4C759DF-2B79-4099-8E8D-EC8A6247C892}" name="What You Should Do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8"/>
  <sheetViews>
    <sheetView zoomScale="70" zoomScaleNormal="70" workbookViewId="0">
      <pane ySplit="8" topLeftCell="A9" activePane="bottomLeft" state="frozen"/>
      <selection pane="bottomLeft" activeCell="D19" sqref="D19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3" t="s">
        <v>66</v>
      </c>
      <c r="B1" s="44"/>
      <c r="C1" s="45"/>
      <c r="D1" s="45"/>
      <c r="E1" s="45"/>
      <c r="F1" s="45"/>
      <c r="G1" s="45"/>
    </row>
    <row r="2" spans="1:8" ht="15" thickBot="1" x14ac:dyDescent="0.35">
      <c r="A2" s="25" t="s">
        <v>65</v>
      </c>
      <c r="B2" s="35" t="s">
        <v>64</v>
      </c>
      <c r="C2" s="16"/>
      <c r="D2" s="46"/>
      <c r="E2" s="47"/>
      <c r="F2" s="47"/>
      <c r="G2" s="47"/>
    </row>
    <row r="3" spans="1:8" ht="15" thickBot="1" x14ac:dyDescent="0.35">
      <c r="A3" s="24" t="s">
        <v>60</v>
      </c>
      <c r="B3" s="34" t="s">
        <v>61</v>
      </c>
      <c r="D3" s="23"/>
      <c r="E3"/>
      <c r="F3"/>
    </row>
    <row r="4" spans="1:8" ht="14.4" customHeight="1" thickBot="1" x14ac:dyDescent="0.35">
      <c r="A4" s="25" t="s">
        <v>59</v>
      </c>
      <c r="B4" s="37" t="s">
        <v>62</v>
      </c>
      <c r="C4" s="16"/>
      <c r="D4" s="46"/>
      <c r="E4" s="47"/>
      <c r="F4" s="47"/>
      <c r="G4" s="47"/>
    </row>
    <row r="5" spans="1:8" ht="14.4" customHeight="1" thickBot="1" x14ac:dyDescent="0.35">
      <c r="A5" s="25" t="s">
        <v>63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8" t="s">
        <v>180</v>
      </c>
      <c r="B7" s="47"/>
      <c r="C7" s="47"/>
      <c r="D7" s="52" t="str">
        <f>'Logic and Calculation'!B5</f>
        <v>Healthy</v>
      </c>
      <c r="E7" s="53"/>
      <c r="F7" s="53"/>
      <c r="G7" s="53"/>
    </row>
    <row r="8" spans="1:8" ht="18" customHeight="1" thickBot="1" x14ac:dyDescent="0.35">
      <c r="A8" s="48" t="s">
        <v>0</v>
      </c>
      <c r="B8" s="47"/>
      <c r="C8" s="47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1"/>
    </row>
    <row r="9" spans="1:8" ht="18" customHeight="1" thickBot="1" x14ac:dyDescent="0.35">
      <c r="A9" s="24" t="s">
        <v>181</v>
      </c>
      <c r="B9" s="34"/>
      <c r="C9" s="16"/>
      <c r="D9" s="54"/>
      <c r="E9" s="54"/>
      <c r="F9" s="54"/>
      <c r="G9" s="54"/>
    </row>
    <row r="10" spans="1:8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21"/>
      <c r="G10" s="16"/>
    </row>
    <row r="11" spans="1:8" ht="18" customHeight="1" thickBot="1" x14ac:dyDescent="0.35">
      <c r="A11" s="24" t="s">
        <v>183</v>
      </c>
      <c r="B11" s="36"/>
      <c r="C11" s="16"/>
      <c r="D11" s="21"/>
      <c r="E11" s="21"/>
      <c r="F11" s="21"/>
      <c r="G11" s="16"/>
    </row>
    <row r="12" spans="1:8" ht="18" customHeight="1" x14ac:dyDescent="0.3">
      <c r="A12" s="16"/>
      <c r="B12" s="16"/>
      <c r="C12" s="16"/>
      <c r="D12" s="21"/>
      <c r="E12" s="21"/>
      <c r="F12" s="21"/>
      <c r="G12" s="16"/>
    </row>
    <row r="13" spans="1:8" x14ac:dyDescent="0.3">
      <c r="A13" s="49" t="s">
        <v>1</v>
      </c>
      <c r="B13" s="47"/>
      <c r="C13" s="47"/>
      <c r="D13" s="47"/>
      <c r="E13" s="47"/>
      <c r="F13" s="47"/>
      <c r="G13" s="47"/>
    </row>
    <row r="14" spans="1:8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246</v>
      </c>
      <c r="G14" s="1" t="s">
        <v>7</v>
      </c>
      <c r="H14" s="14"/>
    </row>
    <row r="15" spans="1:8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C34" s="15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</sheetData>
  <mergeCells count="9">
    <mergeCell ref="A1:G1"/>
    <mergeCell ref="D4:G4"/>
    <mergeCell ref="A7:C7"/>
    <mergeCell ref="A13:G13"/>
    <mergeCell ref="D8:G8"/>
    <mergeCell ref="A8:C8"/>
    <mergeCell ref="D2:G2"/>
    <mergeCell ref="D7:G7"/>
    <mergeCell ref="D9:G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tabSelected="1" topLeftCell="B1" workbookViewId="0">
      <pane ySplit="1" topLeftCell="A2" activePane="bottomLeft" state="frozen"/>
      <selection pane="bottomLeft" activeCell="J5" sqref="J5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9" width="27.77734375" style="22" customWidth="1"/>
    <col min="10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42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247</v>
      </c>
      <c r="K2" s="7" t="s">
        <v>211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7" t="s">
        <v>248</v>
      </c>
      <c r="K3" s="3" t="s">
        <v>211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7" t="s">
        <v>249</v>
      </c>
      <c r="K4" s="3" t="s">
        <v>212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7" t="s">
        <v>250</v>
      </c>
      <c r="K5" s="3" t="s">
        <v>213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7" t="s">
        <v>250</v>
      </c>
      <c r="K6" s="3" t="s">
        <v>213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7" t="s">
        <v>250</v>
      </c>
      <c r="K7" s="3" t="s">
        <v>214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7" t="s">
        <v>247</v>
      </c>
      <c r="K8" s="3" t="s">
        <v>212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7" t="s">
        <v>247</v>
      </c>
      <c r="K9" s="3" t="s">
        <v>212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7" t="s">
        <v>247</v>
      </c>
      <c r="K10" s="3" t="s">
        <v>212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7" t="s">
        <v>247</v>
      </c>
      <c r="K11" s="3" t="s">
        <v>212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7" t="s">
        <v>247</v>
      </c>
      <c r="K12" s="3" t="s">
        <v>212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7" t="s">
        <v>247</v>
      </c>
      <c r="K13" s="3" t="s">
        <v>212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7" t="s">
        <v>251</v>
      </c>
      <c r="K14" s="3" t="s">
        <v>213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7" t="s">
        <v>247</v>
      </c>
      <c r="K15" s="3"/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7" t="s">
        <v>247</v>
      </c>
      <c r="K16" s="3"/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7" t="s">
        <v>247</v>
      </c>
      <c r="K17" s="3" t="s">
        <v>215</v>
      </c>
      <c r="L17" s="6" t="str">
        <f>VLOOKUP(Table1[[#This Row],[Importance]],'Logic and Calculation'!$H$3:$J$12,3,FALSE)</f>
        <v>Medium</v>
      </c>
      <c r="M17" s="4">
        <v>6</v>
      </c>
      <c r="N17" s="4">
        <f>VLOOKUP(Table1[[#This Row],[Importance]],'Logic and Calculation'!$H$3:$J$12,2,FALSE)</f>
        <v>-18</v>
      </c>
      <c r="O17" s="12"/>
    </row>
    <row r="18" spans="1:15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7" t="s">
        <v>247</v>
      </c>
      <c r="K18" s="3" t="s">
        <v>215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7" t="s">
        <v>247</v>
      </c>
      <c r="K19" s="3" t="s">
        <v>215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7" t="s">
        <v>252</v>
      </c>
      <c r="K20" s="3" t="s">
        <v>216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7" t="s">
        <v>252</v>
      </c>
      <c r="K21" s="3"/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247</v>
      </c>
      <c r="K22" s="7" t="s">
        <v>217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7" t="s">
        <v>247</v>
      </c>
      <c r="K23" s="3" t="s">
        <v>217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7" t="s">
        <v>247</v>
      </c>
      <c r="K24" s="3" t="s">
        <v>217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7" t="s">
        <v>247</v>
      </c>
      <c r="K25" s="3" t="s">
        <v>217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7" t="s">
        <v>247</v>
      </c>
      <c r="K26" s="3" t="s">
        <v>217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7" t="s">
        <v>247</v>
      </c>
      <c r="K27" s="3" t="s">
        <v>217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Health_Reference'!N2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Health_Reference'!N17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Health_Reference'!N25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Health_Reference'!N26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2026-04-24T19:32:19Z</dcterms:modified>
</cp:coreProperties>
</file>